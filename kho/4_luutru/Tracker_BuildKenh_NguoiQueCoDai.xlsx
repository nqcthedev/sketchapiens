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Ngân hàng ý tưởng" sheetId="2" state="visible" r:id="rId4"/>
    <sheet name="Pipeline sản xuất" sheetId="3" state="visible" r:id="rId5"/>
    <sheet name="Lịch đăng 12 tuần" sheetId="4" state="visible" r:id="rId6"/>
    <sheet name="Theo dõi chỉ số" sheetId="5" state="visible" r:id="rId7"/>
    <sheet name="Tính doanh thu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<sst xmlns="http://schemas.openxmlformats.org/spreadsheetml/2006/main" count="375" uniqueCount="190">
  <si>
    <t xml:space="preserve">BỘ THEO DÕI BUILD KÊNH “NGƯỜI QUE CỔ ĐẠI”</t>
  </si>
  <si>
    <t xml:space="preserve">File đồng hành với Kế hoạch tổng (.docx). Dùng để lên ý tưởng, quản lý sản xuất, lịch đăng và đo hiệu quả.</t>
  </si>
  <si>
    <t xml:space="preserve">Sheet</t>
  </si>
  <si>
    <t xml:space="preserve">Dùng để làm gì</t>
  </si>
  <si>
    <t xml:space="preserve">2. Ngân hàng ý tưởng</t>
  </si>
  <si>
    <t xml:space="preserve">42 ý tưởng video kèm tiêu đề tiếng Anh, góc hook, độ khó, tiềm năng viral. Lọc/sắp xếp để chọn video tiếp theo.</t>
  </si>
  <si>
    <t xml:space="preserve">3. Pipeline sản xuất</t>
  </si>
  <si>
    <t xml:space="preserve">Theo dõi từng video qua 7 bước (ý tưởng → đăng). Đổi trạng thái mỗi ô khi xong.</t>
  </si>
  <si>
    <t xml:space="preserve">4. Lịch đăng 12 tuần</t>
  </si>
  <si>
    <t xml:space="preserve">Kế hoạch đăng 3 tháng đầu. Điền tiêu đề + ngày đăng dự kiến.</t>
  </si>
  <si>
    <t xml:space="preserve">5. Theo dõi chỉ số</t>
  </si>
  <si>
    <t xml:space="preserve">Sau khi đăng, nhập view/CTR/retention/giờ xem/sub. Tự cộng tiến độ tới mốc bật kiếm tiền.</t>
  </si>
  <si>
    <t xml:space="preserve">6. Tính doanh thu</t>
  </si>
  <si>
    <t xml:space="preserve">Máy tính doanh thu: ô MÀU XANH là số bạn tự đổi (view, RPM). Kết quả tự tính.</t>
  </si>
  <si>
    <t xml:space="preserve">MẸO</t>
  </si>
  <si>
    <t xml:space="preserve">Quy tắc vàng: đặt mục tiêu theo SỐ VIDEO HOÀN THÀNH, không theo tiền. Ra video chất + đều trong 6–12 tháng là bạn đã vượt 90% người bỏ cuộc.</t>
  </si>
  <si>
    <t xml:space="preserve">NGÂN HÀNG Ý TƯỞNG VIDEO (42 ý tưởng khởi đầu)</t>
  </si>
  <si>
    <t xml:space="preserve">Chọn từ đây cho mỗi video. Sắp xếp theo 'Tiềm năng viral' khi cần video bứt phá.</t>
  </si>
  <si>
    <t xml:space="preserve">#</t>
  </si>
  <si>
    <t xml:space="preserve">Trụ nội dung</t>
  </si>
  <si>
    <t xml:space="preserve">Tiêu đề đề xuất (English)</t>
  </si>
  <si>
    <t xml:space="preserve">Góc / Hook</t>
  </si>
  <si>
    <t xml:space="preserve">Độ khó</t>
  </si>
  <si>
    <t xml:space="preserve">Tiềm năng viral</t>
  </si>
  <si>
    <t xml:space="preserve">Trạng thái</t>
  </si>
  <si>
    <t xml:space="preserve">Bí ẩn &amp; tuyệt chủng</t>
  </si>
  <si>
    <t xml:space="preserve">Why Did the Neanderthals Really Go Extinct?</t>
  </si>
  <si>
    <t xml:space="preserve">Lật lại 'sự thật' ai cũng tưởng đã biết</t>
  </si>
  <si>
    <t xml:space="preserve">TB</t>
  </si>
  <si>
    <t xml:space="preserve">Cao</t>
  </si>
  <si>
    <t xml:space="preserve">Ý tưởng</t>
  </si>
  <si>
    <t xml:space="preserve">The Day the Last Neanderthal Died</t>
  </si>
  <si>
    <t xml:space="preserve">Kể như một câu chuyện cảm xúc, nhân vật cuối cùng</t>
  </si>
  <si>
    <t xml:space="preserve">What Happened to the Hobbit-Sized Humans?</t>
  </si>
  <si>
    <t xml:space="preserve">Homo floresiensis - người tí hon có thật</t>
  </si>
  <si>
    <t xml:space="preserve">The Human Species That Vanished Without a Trace</t>
  </si>
  <si>
    <t xml:space="preserve">Bí ẩn Denisovan - ta gần như không biết mặt họ</t>
  </si>
  <si>
    <t xml:space="preserve">Humans Almost Went Extinct 70,000 Years Ago</t>
  </si>
  <si>
    <t xml:space="preserve">Thảm họa Toba - cả loài còn vài nghìn người</t>
  </si>
  <si>
    <t xml:space="preserve">Why Are We the Only Human Species Left?</t>
  </si>
  <si>
    <t xml:space="preserve">Câu hỏi lớn nhất về loài người</t>
  </si>
  <si>
    <t xml:space="preserve">Dễ</t>
  </si>
  <si>
    <t xml:space="preserve">What Killed the Giant Ice Age Humans?</t>
  </si>
  <si>
    <t xml:space="preserve">Tò mò + sinh vật khổng lồ</t>
  </si>
  <si>
    <t xml:space="preserve">Loài người cổ</t>
  </si>
  <si>
    <t xml:space="preserve">Meet the 9 Human Species That Once Existed</t>
  </si>
  <si>
    <t xml:space="preserve">Listicle - định dạng dễ giữ chân</t>
  </si>
  <si>
    <t xml:space="preserve">Homo Erectus: The Human That Conquered the World</t>
  </si>
  <si>
    <t xml:space="preserve">Người đầu tiên 'đi khắp Trái Đất'</t>
  </si>
  <si>
    <t xml:space="preserve">Neanderthals Were Smarter Than You Think</t>
  </si>
  <si>
    <t xml:space="preserve">Đảo ngược định kiến 'người tối cổ ngu ngốc'</t>
  </si>
  <si>
    <t xml:space="preserve">The First Human to Ever Use Fire</t>
  </si>
  <si>
    <t xml:space="preserve">Khoảnh khắc thay đổi lịch sử loài người</t>
  </si>
  <si>
    <t xml:space="preserve">Australopithecus: Half Ape, Half Human</t>
  </si>
  <si>
    <t xml:space="preserve">Lucy - tổ tiên nổi tiếng nhất</t>
  </si>
  <si>
    <t xml:space="preserve">Homo Naledi: The Human That Buried Its Dead</t>
  </si>
  <si>
    <t xml:space="preserve">Bí ẩn nghi lễ của loài não nhỏ</t>
  </si>
  <si>
    <t xml:space="preserve">Khó</t>
  </si>
  <si>
    <t xml:space="preserve">The Ancient Human With a Bigger Brain Than Us</t>
  </si>
  <si>
    <t xml:space="preserve">Nghịch lý: não to hơn nhưng tuyệt chủng</t>
  </si>
  <si>
    <t xml:space="preserve">Đời sống tiền sử</t>
  </si>
  <si>
    <t xml:space="preserve">A Day in the Life of a Stone Age Human</t>
  </si>
  <si>
    <t xml:space="preserve">Kể chuyện 'một ngày' - rất bingeable</t>
  </si>
  <si>
    <t xml:space="preserve">What Did Ancient Humans Actually Eat?</t>
  </si>
  <si>
    <t xml:space="preserve">Tò mò gần gũi, dễ liên hệ</t>
  </si>
  <si>
    <t xml:space="preserve">How Did Cavemen Survive the Ice Age?</t>
  </si>
  <si>
    <t xml:space="preserve">Sinh tồn cực hạn</t>
  </si>
  <si>
    <t xml:space="preserve">The First Murder in Human History</t>
  </si>
  <si>
    <t xml:space="preserve">Tội ác đầu tiên - drama nguyên thủy</t>
  </si>
  <si>
    <t xml:space="preserve">How Ancient Humans Hunted Mammoths</t>
  </si>
  <si>
    <t xml:space="preserve">Hành động + nguy hiểm</t>
  </si>
  <si>
    <t xml:space="preserve">What Ancient Humans Did for Fun</t>
  </si>
  <si>
    <t xml:space="preserve">Góc bất ngờ, hài hước</t>
  </si>
  <si>
    <t xml:space="preserve">The Oldest Recipe in Human History</t>
  </si>
  <si>
    <t xml:space="preserve">Độc lạ, dễ share</t>
  </si>
  <si>
    <t xml:space="preserve">How Stone Age Humans Treated Disease</t>
  </si>
  <si>
    <t xml:space="preserve">Y học cổ - bất ngờ</t>
  </si>
  <si>
    <t xml:space="preserve">Văn minh đã mất</t>
  </si>
  <si>
    <t xml:space="preserve">The 12,000-Year-Old Temple That Shouldn't Exist</t>
  </si>
  <si>
    <t xml:space="preserve">Göbekli Tepe - 'shouldn't exist' câu hook mạnh</t>
  </si>
  <si>
    <t xml:space="preserve">The Lost Civilization Beneath the Black Sea</t>
  </si>
  <si>
    <t xml:space="preserve">Đại hồng thủy có thật?</t>
  </si>
  <si>
    <t xml:space="preserve">Was There an Advanced Civilization Before the Ice Age?</t>
  </si>
  <si>
    <t xml:space="preserve">Tranh cãi nóng - thu hút bình luận</t>
  </si>
  <si>
    <t xml:space="preserve">The Real Story Behind Every Great Flood Myth</t>
  </si>
  <si>
    <t xml:space="preserve">Kết nối thần thoại + khoa học</t>
  </si>
  <si>
    <t xml:space="preserve">Who Built the First City on Earth?</t>
  </si>
  <si>
    <t xml:space="preserve">Çatalhöyük - thành phố đầu tiên</t>
  </si>
  <si>
    <t xml:space="preserve">The 40,000-Year-Old Cave Art That Changed History</t>
  </si>
  <si>
    <t xml:space="preserve">Nghệ thuật cổ nhất - hình ảnh đẹp</t>
  </si>
  <si>
    <t xml:space="preserve">What-if / DNA / So sánh</t>
  </si>
  <si>
    <t xml:space="preserve">What If Neanderthals Never Went Extinct?</t>
  </si>
  <si>
    <t xml:space="preserve">'What if' - định dạng viral kinh điển</t>
  </si>
  <si>
    <t xml:space="preserve">Neanderthals vs Humans: Who Would Win?</t>
  </si>
  <si>
    <t xml:space="preserve">Đối đầu - cực kỳ ăn click</t>
  </si>
  <si>
    <t xml:space="preserve">Your DNA Holds a 50,000-Year-Old Secret</t>
  </si>
  <si>
    <t xml:space="preserve">Cá nhân hóa - 'DNA của BẠN'</t>
  </si>
  <si>
    <t xml:space="preserve">How Humans Conquered Every Continent on Earth</t>
  </si>
  <si>
    <t xml:space="preserve">Bản đồ di cư - epic</t>
  </si>
  <si>
    <t xml:space="preserve">The Real Reason Humans Started Talking</t>
  </si>
  <si>
    <t xml:space="preserve">Nguồn gốc ngôn ngữ</t>
  </si>
  <si>
    <t xml:space="preserve">What Did Humans Look Like 100,000 Years Ago?</t>
  </si>
  <si>
    <t xml:space="preserve">Tò mò trực quan</t>
  </si>
  <si>
    <t xml:space="preserve">The Ancient Humans Who Interbred With Us</t>
  </si>
  <si>
    <t xml:space="preserve">DNA Neanderthal trong bạn</t>
  </si>
  <si>
    <t xml:space="preserve">When Did Humans First Wear Clothes?</t>
  </si>
  <si>
    <t xml:space="preserve">Câu hỏi đơn giản, đáp án bất ngờ</t>
  </si>
  <si>
    <t xml:space="preserve">How Tall Were Ancient Humans, Really?</t>
  </si>
  <si>
    <t xml:space="preserve">So sánh với người hiện đại</t>
  </si>
  <si>
    <t xml:space="preserve">How Did Early Humans Fall in Love?</t>
  </si>
  <si>
    <t xml:space="preserve">Góc cảm xúc, độc đáo</t>
  </si>
  <si>
    <t xml:space="preserve">The Ancient Map That Shouldn't Be Possible</t>
  </si>
  <si>
    <t xml:space="preserve">Bí ẩn bản đồ cổ</t>
  </si>
  <si>
    <t xml:space="preserve">The Mystery of the Denisovans Explained</t>
  </si>
  <si>
    <t xml:space="preserve">Loài người 'tàng hình'</t>
  </si>
  <si>
    <t xml:space="preserve">How We Know What Ancient Humans Looked Like</t>
  </si>
  <si>
    <t xml:space="preserve">Hé lộ 'hậu trường' khoa học</t>
  </si>
  <si>
    <t xml:space="preserve">What Was the First Language Humans Ever Spoke?</t>
  </si>
  <si>
    <t xml:space="preserve">Nguồn gốc tiếng nói - tranh luận</t>
  </si>
  <si>
    <t xml:space="preserve">PIPELINE SẢN XUẤT — theo dõi 7 bước/video</t>
  </si>
  <si>
    <t xml:space="preserve">Mỗi cột bước: chọn Chưa / Đang làm / Xong. Khi cả 7 bước = Xong thì video sẵn sàng.</t>
  </si>
  <si>
    <t xml:space="preserve">Tiêu đề video</t>
  </si>
  <si>
    <t xml:space="preserve">1.Ý tưởng</t>
  </si>
  <si>
    <t xml:space="preserve">2.Kịch bản</t>
  </si>
  <si>
    <t xml:space="preserve">3.Voice</t>
  </si>
  <si>
    <t xml:space="preserve">4.Animate</t>
  </si>
  <si>
    <t xml:space="preserve">5.Dựng</t>
  </si>
  <si>
    <t xml:space="preserve">6.Thumbnail</t>
  </si>
  <si>
    <t xml:space="preserve">7.Đăng</t>
  </si>
  <si>
    <t xml:space="preserve">Ngày đăng dự kiến</t>
  </si>
  <si>
    <t xml:space="preserve">Ghi chú</t>
  </si>
  <si>
    <t xml:space="preserve">Chưa</t>
  </si>
  <si>
    <t xml:space="preserve">LỊCH ĐĂNG 12 TUẦN ĐẦU</t>
  </si>
  <si>
    <t xml:space="preserve">Tháng 1-2: 1 video dài/tuần. Tháng 3: tăng lên 1-2 video dài + 2-3 Shorts/tuần.</t>
  </si>
  <si>
    <t xml:space="preserve">Tuần</t>
  </si>
  <si>
    <t xml:space="preserve">Trọng tâm (theo plan)</t>
  </si>
  <si>
    <t xml:space="preserve">Video dài #1</t>
  </si>
  <si>
    <t xml:space="preserve">Video dài #2</t>
  </si>
  <si>
    <t xml:space="preserve">Shorts</t>
  </si>
  <si>
    <t xml:space="preserve">Tuần 1</t>
  </si>
  <si>
    <t xml:space="preserve">Nền tảng: tên, logo, lập kênh &amp; tài khoản</t>
  </si>
  <si>
    <t xml:space="preserve">Tuần 2</t>
  </si>
  <si>
    <t xml:space="preserve">Học craft: làm 1 video nháp (không đăng)</t>
  </si>
  <si>
    <t xml:space="preserve">Tuần 3</t>
  </si>
  <si>
    <t xml:space="preserve">Sản xuất 3 video đầu</t>
  </si>
  <si>
    <t xml:space="preserve">Tuần 4</t>
  </si>
  <si>
    <t xml:space="preserve">Đăng + cắt Shorts</t>
  </si>
  <si>
    <t xml:space="preserve">Tuần 5</t>
  </si>
  <si>
    <t xml:space="preserve">Phân phối: Reddit/FB, trả lời comment</t>
  </si>
  <si>
    <t xml:space="preserve">Tuần 6</t>
  </si>
  <si>
    <t xml:space="preserve">Phân tích CTR/retention 3 video</t>
  </si>
  <si>
    <t xml:space="preserve">Tuần 7</t>
  </si>
  <si>
    <t xml:space="preserve">Nhân bản video tốt nhất</t>
  </si>
  <si>
    <t xml:space="preserve">Tuần 8</t>
  </si>
  <si>
    <t xml:space="preserve">Chuẩn hóa template</t>
  </si>
  <si>
    <t xml:space="preserve">Tuần 9</t>
  </si>
  <si>
    <t xml:space="preserve">Tăng nhịp: 1-2 video/tuần</t>
  </si>
  <si>
    <t xml:space="preserve">Tuần 10</t>
  </si>
  <si>
    <t xml:space="preserve">Xây 1 series có đánh số</t>
  </si>
  <si>
    <t xml:space="preserve">Tuần 11</t>
  </si>
  <si>
    <t xml:space="preserve">Đẩy mạnh Shorts làm phễu</t>
  </si>
  <si>
    <t xml:space="preserve">Tuần 12</t>
  </si>
  <si>
    <t xml:space="preserve">Tổng kết 90 ngày &amp; định công thức</t>
  </si>
  <si>
    <t xml:space="preserve">THEO DÕI CHỈ SỐ VIDEO ĐÃ ĐĂNG</t>
  </si>
  <si>
    <t xml:space="preserve">Nhập số sau 48h và sau 28 ngày. Mục tiêu bật kiếm tiền: 1.000 sub + 4.000 giờ xem.</t>
  </si>
  <si>
    <t xml:space="preserve">Video</t>
  </si>
  <si>
    <t xml:space="preserve">Ngày đăng</t>
  </si>
  <si>
    <t xml:space="preserve">Views</t>
  </si>
  <si>
    <t xml:space="preserve">CTR %</t>
  </si>
  <si>
    <t xml:space="preserve">Avg view (phút)</t>
  </si>
  <si>
    <t xml:space="preserve">Giờ xem</t>
  </si>
  <si>
    <t xml:space="preserve">Sub +</t>
  </si>
  <si>
    <t xml:space="preserve">Doanh thu $</t>
  </si>
  <si>
    <t xml:space="preserve">TỔNG / TIẾN ĐỘ</t>
  </si>
  <si>
    <t xml:space="preserve">Tiến độ giờ xem (mục tiêu 4.000)</t>
  </si>
  <si>
    <t xml:space="preserve">Tiến độ sub (mục tiêu 1.000)</t>
  </si>
  <si>
    <t xml:space="preserve">MÁY TÍNH DOANH THU (ước tính)</t>
  </si>
  <si>
    <t xml:space="preserve">Ô chữ MÀU XANH = bạn tự thay đổi. Các ô khác tự tính. Chỉ là ước tính doanh thu quảng cáo.</t>
  </si>
  <si>
    <t xml:space="preserve">GIẢ ĐỊNH (sửa số xanh)</t>
  </si>
  <si>
    <t xml:space="preserve">Giá trị</t>
  </si>
  <si>
    <t xml:space="preserve">Lượt xem / tháng</t>
  </si>
  <si>
    <t xml:space="preserve">RPM ($ / 1.000 view)</t>
  </si>
  <si>
    <t xml:space="preserve">Tỷ lệ khán giả nước RPM cao (%)</t>
  </si>
  <si>
    <t xml:space="preserve">KẾT QUẢ (tự tính)</t>
  </si>
  <si>
    <t xml:space="preserve">Doanh thu ads / tháng</t>
  </si>
  <si>
    <t xml:space="preserve">Doanh thu ads / năm</t>
  </si>
  <si>
    <t xml:space="preserve">BẢNG THAM CHIẾU NHANH (RPM = $8)</t>
  </si>
  <si>
    <t xml:space="preserve">Views/tháng</t>
  </si>
  <si>
    <t xml:space="preserve">Doanh thu/tháng</t>
  </si>
  <si>
    <t xml:space="preserve">Lưu ý: RPM ngách giáo dục/lịch sử ~ $5–$15 với khán giả Mỹ/Anh/Úc/Canada. Q4 cao nhất, tháng 1 tụt 30–50%. Chưa gồm affiliate/sponsor/membership.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</si>
</sst>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\$#,##0.00"/>
    <numFmt numFmtId="167" formatCode="#,##0"/>
    <numFmt numFmtId="168" formatCode="0%"/>
    <numFmt numFmtId="169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DCE6F1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AF1FA"/>
      </patternFill>
    </fill>
    <fill>
      <patternFill patternType="solid">
        <fgColor rgb="FF548235"/>
        <bgColor rgb="FF339966"/>
      </patternFill>
    </fill>
    <fill>
      <patternFill patternType="solid">
        <fgColor rgb="FFEAF1F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CE6F1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DE2F3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A"/>
      <rgbColor rgb="FFE2EFDA"/>
      <rgbColor rgb="FFF2F2F2"/>
      <rgbColor rgb="FFEDE2F3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2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88"/>
  </cols>
  <sheetData>
    <row r="2" customFormat="false" ht="25.5" hidden="false" customHeight="true" outlineLevel="0" collapsed="false">
      <c r="A2" s="1" t="s">
        <v>0</v>
      </c>
      <c r="B2" s="1"/>
      <c r="C2" s="1"/>
    </row>
    <row r="3" customFormat="false" ht="18" hidden="false" customHeight="true" outlineLevel="0" collapsed="false">
      <c r="A3" s="2" t="s">
        <v>1</v>
      </c>
      <c r="B3" s="2"/>
      <c r="C3" s="2"/>
    </row>
    <row r="5" customFormat="false" ht="19.5" hidden="false" customHeight="true" outlineLevel="0" collapsed="false">
      <c r="B5" s="3" t="s">
        <v>2</v>
      </c>
      <c r="C5" s="3" t="s">
        <v>3</v>
      </c>
    </row>
    <row r="6" customFormat="false" ht="33.75" hidden="false" customHeight="true" outlineLevel="0" collapsed="false">
      <c r="B6" s="4" t="s">
        <v>4</v>
      </c>
      <c r="C6" s="5" t="s">
        <v>5</v>
      </c>
    </row>
    <row r="7" customFormat="false" ht="33.75" hidden="false" customHeight="true" outlineLevel="0" collapsed="false">
      <c r="B7" s="4" t="s">
        <v>6</v>
      </c>
      <c r="C7" s="6" t="s">
        <v>7</v>
      </c>
    </row>
    <row r="8" customFormat="false" ht="33.75" hidden="false" customHeight="true" outlineLevel="0" collapsed="false">
      <c r="B8" s="4" t="s">
        <v>8</v>
      </c>
      <c r="C8" s="5" t="s">
        <v>9</v>
      </c>
    </row>
    <row r="9" customFormat="false" ht="33.75" hidden="false" customHeight="true" outlineLevel="0" collapsed="false">
      <c r="B9" s="4" t="s">
        <v>10</v>
      </c>
      <c r="C9" s="6" t="s">
        <v>11</v>
      </c>
    </row>
    <row r="10" customFormat="false" ht="33.75" hidden="false" customHeight="true" outlineLevel="0" collapsed="false">
      <c r="B10" s="4" t="s">
        <v>12</v>
      </c>
      <c r="C10" s="5" t="s">
        <v>13</v>
      </c>
    </row>
    <row r="12" customFormat="false" ht="33.75" hidden="false" customHeight="true" outlineLevel="0" collapsed="false">
      <c r="B12" s="7" t="s">
        <v>14</v>
      </c>
      <c r="C12" s="8" t="s">
        <v>15</v>
      </c>
    </row>
  </sheetData>
  <mergeCells count="2"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17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9" t="s">
        <v>18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</row>
    <row r="5" customFormat="false" ht="30" hidden="false" customHeight="true" outlineLevel="0" collapsed="false">
      <c r="A5" s="10" t="n">
        <v>1</v>
      </c>
      <c r="B5" s="11" t="s">
        <v>25</v>
      </c>
      <c r="C5" s="12" t="s">
        <v>26</v>
      </c>
      <c r="D5" s="13" t="s">
        <v>27</v>
      </c>
      <c r="E5" s="14" t="s">
        <v>28</v>
      </c>
      <c r="F5" s="15" t="s">
        <v>29</v>
      </c>
      <c r="G5" s="16" t="s">
        <v>30</v>
      </c>
    </row>
    <row r="6" customFormat="false" ht="30" hidden="false" customHeight="true" outlineLevel="0" collapsed="false">
      <c r="A6" s="10" t="n">
        <v>2</v>
      </c>
      <c r="B6" s="11" t="s">
        <v>25</v>
      </c>
      <c r="C6" s="12" t="s">
        <v>31</v>
      </c>
      <c r="D6" s="13" t="s">
        <v>32</v>
      </c>
      <c r="E6" s="14" t="s">
        <v>28</v>
      </c>
      <c r="F6" s="15" t="s">
        <v>29</v>
      </c>
      <c r="G6" s="16" t="s">
        <v>30</v>
      </c>
    </row>
    <row r="7" customFormat="false" ht="30" hidden="false" customHeight="true" outlineLevel="0" collapsed="false">
      <c r="A7" s="10" t="n">
        <v>3</v>
      </c>
      <c r="B7" s="11" t="s">
        <v>25</v>
      </c>
      <c r="C7" s="12" t="s">
        <v>33</v>
      </c>
      <c r="D7" s="13" t="s">
        <v>34</v>
      </c>
      <c r="E7" s="14" t="s">
        <v>28</v>
      </c>
      <c r="F7" s="15" t="s">
        <v>29</v>
      </c>
      <c r="G7" s="16" t="s">
        <v>30</v>
      </c>
    </row>
    <row r="8" customFormat="false" ht="30" hidden="false" customHeight="true" outlineLevel="0" collapsed="false">
      <c r="A8" s="10" t="n">
        <v>4</v>
      </c>
      <c r="B8" s="11" t="s">
        <v>25</v>
      </c>
      <c r="C8" s="12" t="s">
        <v>35</v>
      </c>
      <c r="D8" s="13" t="s">
        <v>36</v>
      </c>
      <c r="E8" s="14" t="s">
        <v>28</v>
      </c>
      <c r="F8" s="17" t="s">
        <v>28</v>
      </c>
      <c r="G8" s="16" t="s">
        <v>30</v>
      </c>
    </row>
    <row r="9" customFormat="false" ht="30" hidden="false" customHeight="true" outlineLevel="0" collapsed="false">
      <c r="A9" s="10" t="n">
        <v>5</v>
      </c>
      <c r="B9" s="11" t="s">
        <v>25</v>
      </c>
      <c r="C9" s="12" t="s">
        <v>37</v>
      </c>
      <c r="D9" s="13" t="s">
        <v>38</v>
      </c>
      <c r="E9" s="14" t="s">
        <v>28</v>
      </c>
      <c r="F9" s="15" t="s">
        <v>29</v>
      </c>
      <c r="G9" s="16" t="s">
        <v>30</v>
      </c>
    </row>
    <row r="10" customFormat="false" ht="30" hidden="false" customHeight="true" outlineLevel="0" collapsed="false">
      <c r="A10" s="10" t="n">
        <v>6</v>
      </c>
      <c r="B10" s="11" t="s">
        <v>25</v>
      </c>
      <c r="C10" s="12" t="s">
        <v>39</v>
      </c>
      <c r="D10" s="13" t="s">
        <v>40</v>
      </c>
      <c r="E10" s="14" t="s">
        <v>41</v>
      </c>
      <c r="F10" s="15" t="s">
        <v>29</v>
      </c>
      <c r="G10" s="16" t="s">
        <v>30</v>
      </c>
    </row>
    <row r="11" customFormat="false" ht="30" hidden="false" customHeight="true" outlineLevel="0" collapsed="false">
      <c r="A11" s="10" t="n">
        <v>7</v>
      </c>
      <c r="B11" s="11" t="s">
        <v>25</v>
      </c>
      <c r="C11" s="12" t="s">
        <v>42</v>
      </c>
      <c r="D11" s="13" t="s">
        <v>43</v>
      </c>
      <c r="E11" s="14" t="s">
        <v>28</v>
      </c>
      <c r="F11" s="17" t="s">
        <v>28</v>
      </c>
      <c r="G11" s="16" t="s">
        <v>30</v>
      </c>
    </row>
    <row r="12" customFormat="false" ht="30" hidden="false" customHeight="true" outlineLevel="0" collapsed="false">
      <c r="A12" s="10" t="n">
        <v>8</v>
      </c>
      <c r="B12" s="18" t="s">
        <v>44</v>
      </c>
      <c r="C12" s="12" t="s">
        <v>45</v>
      </c>
      <c r="D12" s="13" t="s">
        <v>46</v>
      </c>
      <c r="E12" s="14" t="s">
        <v>28</v>
      </c>
      <c r="F12" s="15" t="s">
        <v>29</v>
      </c>
      <c r="G12" s="16" t="s">
        <v>30</v>
      </c>
    </row>
    <row r="13" customFormat="false" ht="30" hidden="false" customHeight="true" outlineLevel="0" collapsed="false">
      <c r="A13" s="10" t="n">
        <v>9</v>
      </c>
      <c r="B13" s="18" t="s">
        <v>44</v>
      </c>
      <c r="C13" s="12" t="s">
        <v>47</v>
      </c>
      <c r="D13" s="13" t="s">
        <v>48</v>
      </c>
      <c r="E13" s="14" t="s">
        <v>28</v>
      </c>
      <c r="F13" s="17" t="s">
        <v>28</v>
      </c>
      <c r="G13" s="16" t="s">
        <v>30</v>
      </c>
    </row>
    <row r="14" customFormat="false" ht="30" hidden="false" customHeight="true" outlineLevel="0" collapsed="false">
      <c r="A14" s="10" t="n">
        <v>10</v>
      </c>
      <c r="B14" s="18" t="s">
        <v>44</v>
      </c>
      <c r="C14" s="12" t="s">
        <v>49</v>
      </c>
      <c r="D14" s="13" t="s">
        <v>50</v>
      </c>
      <c r="E14" s="14" t="s">
        <v>41</v>
      </c>
      <c r="F14" s="15" t="s">
        <v>29</v>
      </c>
      <c r="G14" s="16" t="s">
        <v>30</v>
      </c>
    </row>
    <row r="15" customFormat="false" ht="30" hidden="false" customHeight="true" outlineLevel="0" collapsed="false">
      <c r="A15" s="10" t="n">
        <v>11</v>
      </c>
      <c r="B15" s="18" t="s">
        <v>44</v>
      </c>
      <c r="C15" s="12" t="s">
        <v>51</v>
      </c>
      <c r="D15" s="13" t="s">
        <v>52</v>
      </c>
      <c r="E15" s="14" t="s">
        <v>41</v>
      </c>
      <c r="F15" s="17" t="s">
        <v>28</v>
      </c>
      <c r="G15" s="16" t="s">
        <v>30</v>
      </c>
    </row>
    <row r="16" customFormat="false" ht="30" hidden="false" customHeight="true" outlineLevel="0" collapsed="false">
      <c r="A16" s="10" t="n">
        <v>12</v>
      </c>
      <c r="B16" s="18" t="s">
        <v>44</v>
      </c>
      <c r="C16" s="12" t="s">
        <v>53</v>
      </c>
      <c r="D16" s="13" t="s">
        <v>54</v>
      </c>
      <c r="E16" s="14" t="s">
        <v>28</v>
      </c>
      <c r="F16" s="17" t="s">
        <v>28</v>
      </c>
      <c r="G16" s="16" t="s">
        <v>30</v>
      </c>
    </row>
    <row r="17" customFormat="false" ht="30" hidden="false" customHeight="true" outlineLevel="0" collapsed="false">
      <c r="A17" s="10" t="n">
        <v>13</v>
      </c>
      <c r="B17" s="18" t="s">
        <v>44</v>
      </c>
      <c r="C17" s="12" t="s">
        <v>55</v>
      </c>
      <c r="D17" s="13" t="s">
        <v>56</v>
      </c>
      <c r="E17" s="14" t="s">
        <v>57</v>
      </c>
      <c r="F17" s="17" t="s">
        <v>28</v>
      </c>
      <c r="G17" s="16" t="s">
        <v>30</v>
      </c>
    </row>
    <row r="18" customFormat="false" ht="30" hidden="false" customHeight="true" outlineLevel="0" collapsed="false">
      <c r="A18" s="10" t="n">
        <v>14</v>
      </c>
      <c r="B18" s="18" t="s">
        <v>44</v>
      </c>
      <c r="C18" s="12" t="s">
        <v>58</v>
      </c>
      <c r="D18" s="13" t="s">
        <v>59</v>
      </c>
      <c r="E18" s="14" t="s">
        <v>28</v>
      </c>
      <c r="F18" s="17" t="s">
        <v>28</v>
      </c>
      <c r="G18" s="16" t="s">
        <v>30</v>
      </c>
    </row>
    <row r="19" customFormat="false" ht="30" hidden="false" customHeight="true" outlineLevel="0" collapsed="false">
      <c r="A19" s="10" t="n">
        <v>15</v>
      </c>
      <c r="B19" s="19" t="s">
        <v>60</v>
      </c>
      <c r="C19" s="12" t="s">
        <v>61</v>
      </c>
      <c r="D19" s="13" t="s">
        <v>62</v>
      </c>
      <c r="E19" s="14" t="s">
        <v>41</v>
      </c>
      <c r="F19" s="15" t="s">
        <v>29</v>
      </c>
      <c r="G19" s="16" t="s">
        <v>30</v>
      </c>
    </row>
    <row r="20" customFormat="false" ht="30" hidden="false" customHeight="true" outlineLevel="0" collapsed="false">
      <c r="A20" s="10" t="n">
        <v>16</v>
      </c>
      <c r="B20" s="19" t="s">
        <v>60</v>
      </c>
      <c r="C20" s="12" t="s">
        <v>63</v>
      </c>
      <c r="D20" s="13" t="s">
        <v>64</v>
      </c>
      <c r="E20" s="14" t="s">
        <v>41</v>
      </c>
      <c r="F20" s="15" t="s">
        <v>29</v>
      </c>
      <c r="G20" s="16" t="s">
        <v>30</v>
      </c>
    </row>
    <row r="21" customFormat="false" ht="30" hidden="false" customHeight="true" outlineLevel="0" collapsed="false">
      <c r="A21" s="10" t="n">
        <v>17</v>
      </c>
      <c r="B21" s="19" t="s">
        <v>60</v>
      </c>
      <c r="C21" s="12" t="s">
        <v>65</v>
      </c>
      <c r="D21" s="13" t="s">
        <v>66</v>
      </c>
      <c r="E21" s="14" t="s">
        <v>41</v>
      </c>
      <c r="F21" s="15" t="s">
        <v>29</v>
      </c>
      <c r="G21" s="16" t="s">
        <v>30</v>
      </c>
    </row>
    <row r="22" customFormat="false" ht="30" hidden="false" customHeight="true" outlineLevel="0" collapsed="false">
      <c r="A22" s="10" t="n">
        <v>18</v>
      </c>
      <c r="B22" s="19" t="s">
        <v>60</v>
      </c>
      <c r="C22" s="12" t="s">
        <v>67</v>
      </c>
      <c r="D22" s="13" t="s">
        <v>68</v>
      </c>
      <c r="E22" s="14" t="s">
        <v>28</v>
      </c>
      <c r="F22" s="15" t="s">
        <v>29</v>
      </c>
      <c r="G22" s="16" t="s">
        <v>30</v>
      </c>
    </row>
    <row r="23" customFormat="false" ht="30" hidden="false" customHeight="true" outlineLevel="0" collapsed="false">
      <c r="A23" s="10" t="n">
        <v>19</v>
      </c>
      <c r="B23" s="19" t="s">
        <v>60</v>
      </c>
      <c r="C23" s="12" t="s">
        <v>69</v>
      </c>
      <c r="D23" s="13" t="s">
        <v>70</v>
      </c>
      <c r="E23" s="14" t="s">
        <v>41</v>
      </c>
      <c r="F23" s="17" t="s">
        <v>28</v>
      </c>
      <c r="G23" s="16" t="s">
        <v>30</v>
      </c>
    </row>
    <row r="24" customFormat="false" ht="30" hidden="false" customHeight="true" outlineLevel="0" collapsed="false">
      <c r="A24" s="10" t="n">
        <v>20</v>
      </c>
      <c r="B24" s="19" t="s">
        <v>60</v>
      </c>
      <c r="C24" s="12" t="s">
        <v>71</v>
      </c>
      <c r="D24" s="13" t="s">
        <v>72</v>
      </c>
      <c r="E24" s="14" t="s">
        <v>41</v>
      </c>
      <c r="F24" s="17" t="s">
        <v>28</v>
      </c>
      <c r="G24" s="16" t="s">
        <v>30</v>
      </c>
    </row>
    <row r="25" customFormat="false" ht="30" hidden="false" customHeight="true" outlineLevel="0" collapsed="false">
      <c r="A25" s="10" t="n">
        <v>21</v>
      </c>
      <c r="B25" s="19" t="s">
        <v>60</v>
      </c>
      <c r="C25" s="12" t="s">
        <v>73</v>
      </c>
      <c r="D25" s="13" t="s">
        <v>74</v>
      </c>
      <c r="E25" s="14" t="s">
        <v>41</v>
      </c>
      <c r="F25" s="17" t="s">
        <v>28</v>
      </c>
      <c r="G25" s="16" t="s">
        <v>30</v>
      </c>
    </row>
    <row r="26" customFormat="false" ht="30" hidden="false" customHeight="true" outlineLevel="0" collapsed="false">
      <c r="A26" s="10" t="n">
        <v>22</v>
      </c>
      <c r="B26" s="19" t="s">
        <v>60</v>
      </c>
      <c r="C26" s="12" t="s">
        <v>75</v>
      </c>
      <c r="D26" s="13" t="s">
        <v>76</v>
      </c>
      <c r="E26" s="14" t="s">
        <v>28</v>
      </c>
      <c r="F26" s="17" t="s">
        <v>28</v>
      </c>
      <c r="G26" s="16" t="s">
        <v>30</v>
      </c>
    </row>
    <row r="27" customFormat="false" ht="30" hidden="false" customHeight="true" outlineLevel="0" collapsed="false">
      <c r="A27" s="10" t="n">
        <v>23</v>
      </c>
      <c r="B27" s="20" t="s">
        <v>77</v>
      </c>
      <c r="C27" s="12" t="s">
        <v>78</v>
      </c>
      <c r="D27" s="13" t="s">
        <v>79</v>
      </c>
      <c r="E27" s="14" t="s">
        <v>28</v>
      </c>
      <c r="F27" s="15" t="s">
        <v>29</v>
      </c>
      <c r="G27" s="16" t="s">
        <v>30</v>
      </c>
    </row>
    <row r="28" customFormat="false" ht="30" hidden="false" customHeight="true" outlineLevel="0" collapsed="false">
      <c r="A28" s="10" t="n">
        <v>24</v>
      </c>
      <c r="B28" s="20" t="s">
        <v>77</v>
      </c>
      <c r="C28" s="12" t="s">
        <v>80</v>
      </c>
      <c r="D28" s="13" t="s">
        <v>81</v>
      </c>
      <c r="E28" s="14" t="s">
        <v>57</v>
      </c>
      <c r="F28" s="15" t="s">
        <v>29</v>
      </c>
      <c r="G28" s="16" t="s">
        <v>30</v>
      </c>
    </row>
    <row r="29" customFormat="false" ht="30" hidden="false" customHeight="true" outlineLevel="0" collapsed="false">
      <c r="A29" s="10" t="n">
        <v>25</v>
      </c>
      <c r="B29" s="20" t="s">
        <v>77</v>
      </c>
      <c r="C29" s="12" t="s">
        <v>82</v>
      </c>
      <c r="D29" s="13" t="s">
        <v>83</v>
      </c>
      <c r="E29" s="14" t="s">
        <v>57</v>
      </c>
      <c r="F29" s="15" t="s">
        <v>29</v>
      </c>
      <c r="G29" s="16" t="s">
        <v>30</v>
      </c>
    </row>
    <row r="30" customFormat="false" ht="30" hidden="false" customHeight="true" outlineLevel="0" collapsed="false">
      <c r="A30" s="10" t="n">
        <v>26</v>
      </c>
      <c r="B30" s="20" t="s">
        <v>77</v>
      </c>
      <c r="C30" s="12" t="s">
        <v>84</v>
      </c>
      <c r="D30" s="13" t="s">
        <v>85</v>
      </c>
      <c r="E30" s="14" t="s">
        <v>28</v>
      </c>
      <c r="F30" s="17" t="s">
        <v>28</v>
      </c>
      <c r="G30" s="16" t="s">
        <v>30</v>
      </c>
    </row>
    <row r="31" customFormat="false" ht="30" hidden="false" customHeight="true" outlineLevel="0" collapsed="false">
      <c r="A31" s="10" t="n">
        <v>27</v>
      </c>
      <c r="B31" s="20" t="s">
        <v>77</v>
      </c>
      <c r="C31" s="12" t="s">
        <v>86</v>
      </c>
      <c r="D31" s="13" t="s">
        <v>87</v>
      </c>
      <c r="E31" s="14" t="s">
        <v>28</v>
      </c>
      <c r="F31" s="17" t="s">
        <v>28</v>
      </c>
      <c r="G31" s="16" t="s">
        <v>30</v>
      </c>
    </row>
    <row r="32" customFormat="false" ht="30" hidden="false" customHeight="true" outlineLevel="0" collapsed="false">
      <c r="A32" s="10" t="n">
        <v>28</v>
      </c>
      <c r="B32" s="20" t="s">
        <v>77</v>
      </c>
      <c r="C32" s="12" t="s">
        <v>88</v>
      </c>
      <c r="D32" s="13" t="s">
        <v>89</v>
      </c>
      <c r="E32" s="14" t="s">
        <v>41</v>
      </c>
      <c r="F32" s="17" t="s">
        <v>28</v>
      </c>
      <c r="G32" s="16" t="s">
        <v>30</v>
      </c>
    </row>
    <row r="33" customFormat="false" ht="30" hidden="false" customHeight="true" outlineLevel="0" collapsed="false">
      <c r="A33" s="10" t="n">
        <v>29</v>
      </c>
      <c r="B33" s="21" t="s">
        <v>90</v>
      </c>
      <c r="C33" s="12" t="s">
        <v>91</v>
      </c>
      <c r="D33" s="13" t="s">
        <v>92</v>
      </c>
      <c r="E33" s="14" t="s">
        <v>41</v>
      </c>
      <c r="F33" s="15" t="s">
        <v>29</v>
      </c>
      <c r="G33" s="16" t="s">
        <v>30</v>
      </c>
    </row>
    <row r="34" customFormat="false" ht="30" hidden="false" customHeight="true" outlineLevel="0" collapsed="false">
      <c r="A34" s="10" t="n">
        <v>30</v>
      </c>
      <c r="B34" s="21" t="s">
        <v>90</v>
      </c>
      <c r="C34" s="12" t="s">
        <v>93</v>
      </c>
      <c r="D34" s="13" t="s">
        <v>94</v>
      </c>
      <c r="E34" s="14" t="s">
        <v>41</v>
      </c>
      <c r="F34" s="15" t="s">
        <v>29</v>
      </c>
      <c r="G34" s="16" t="s">
        <v>30</v>
      </c>
    </row>
    <row r="35" customFormat="false" ht="30" hidden="false" customHeight="true" outlineLevel="0" collapsed="false">
      <c r="A35" s="10" t="n">
        <v>31</v>
      </c>
      <c r="B35" s="21" t="s">
        <v>90</v>
      </c>
      <c r="C35" s="12" t="s">
        <v>95</v>
      </c>
      <c r="D35" s="13" t="s">
        <v>96</v>
      </c>
      <c r="E35" s="14" t="s">
        <v>28</v>
      </c>
      <c r="F35" s="15" t="s">
        <v>29</v>
      </c>
      <c r="G35" s="16" t="s">
        <v>30</v>
      </c>
    </row>
    <row r="36" customFormat="false" ht="30" hidden="false" customHeight="true" outlineLevel="0" collapsed="false">
      <c r="A36" s="10" t="n">
        <v>32</v>
      </c>
      <c r="B36" s="21" t="s">
        <v>90</v>
      </c>
      <c r="C36" s="12" t="s">
        <v>97</v>
      </c>
      <c r="D36" s="13" t="s">
        <v>98</v>
      </c>
      <c r="E36" s="14" t="s">
        <v>28</v>
      </c>
      <c r="F36" s="17" t="s">
        <v>28</v>
      </c>
      <c r="G36" s="16" t="s">
        <v>30</v>
      </c>
    </row>
    <row r="37" customFormat="false" ht="30" hidden="false" customHeight="true" outlineLevel="0" collapsed="false">
      <c r="A37" s="10" t="n">
        <v>33</v>
      </c>
      <c r="B37" s="21" t="s">
        <v>90</v>
      </c>
      <c r="C37" s="12" t="s">
        <v>99</v>
      </c>
      <c r="D37" s="13" t="s">
        <v>100</v>
      </c>
      <c r="E37" s="14" t="s">
        <v>57</v>
      </c>
      <c r="F37" s="17" t="s">
        <v>28</v>
      </c>
      <c r="G37" s="16" t="s">
        <v>30</v>
      </c>
    </row>
    <row r="38" customFormat="false" ht="30" hidden="false" customHeight="true" outlineLevel="0" collapsed="false">
      <c r="A38" s="10" t="n">
        <v>34</v>
      </c>
      <c r="B38" s="21" t="s">
        <v>90</v>
      </c>
      <c r="C38" s="12" t="s">
        <v>101</v>
      </c>
      <c r="D38" s="13" t="s">
        <v>102</v>
      </c>
      <c r="E38" s="14" t="s">
        <v>41</v>
      </c>
      <c r="F38" s="17" t="s">
        <v>28</v>
      </c>
      <c r="G38" s="16" t="s">
        <v>30</v>
      </c>
    </row>
    <row r="39" customFormat="false" ht="30" hidden="false" customHeight="true" outlineLevel="0" collapsed="false">
      <c r="A39" s="10" t="n">
        <v>35</v>
      </c>
      <c r="B39" s="21" t="s">
        <v>90</v>
      </c>
      <c r="C39" s="12" t="s">
        <v>103</v>
      </c>
      <c r="D39" s="13" t="s">
        <v>104</v>
      </c>
      <c r="E39" s="14" t="s">
        <v>28</v>
      </c>
      <c r="F39" s="15" t="s">
        <v>29</v>
      </c>
      <c r="G39" s="16" t="s">
        <v>30</v>
      </c>
    </row>
    <row r="40" customFormat="false" ht="30" hidden="false" customHeight="true" outlineLevel="0" collapsed="false">
      <c r="A40" s="10" t="n">
        <v>36</v>
      </c>
      <c r="B40" s="21" t="s">
        <v>90</v>
      </c>
      <c r="C40" s="12" t="s">
        <v>105</v>
      </c>
      <c r="D40" s="13" t="s">
        <v>106</v>
      </c>
      <c r="E40" s="14" t="s">
        <v>41</v>
      </c>
      <c r="F40" s="17" t="s">
        <v>28</v>
      </c>
      <c r="G40" s="16" t="s">
        <v>30</v>
      </c>
    </row>
    <row r="41" customFormat="false" ht="30" hidden="false" customHeight="true" outlineLevel="0" collapsed="false">
      <c r="A41" s="10" t="n">
        <v>37</v>
      </c>
      <c r="B41" s="18" t="s">
        <v>44</v>
      </c>
      <c r="C41" s="12" t="s">
        <v>107</v>
      </c>
      <c r="D41" s="13" t="s">
        <v>108</v>
      </c>
      <c r="E41" s="14" t="s">
        <v>41</v>
      </c>
      <c r="F41" s="17" t="s">
        <v>28</v>
      </c>
      <c r="G41" s="16" t="s">
        <v>30</v>
      </c>
    </row>
    <row r="42" customFormat="false" ht="30" hidden="false" customHeight="true" outlineLevel="0" collapsed="false">
      <c r="A42" s="10" t="n">
        <v>38</v>
      </c>
      <c r="B42" s="19" t="s">
        <v>60</v>
      </c>
      <c r="C42" s="12" t="s">
        <v>109</v>
      </c>
      <c r="D42" s="13" t="s">
        <v>110</v>
      </c>
      <c r="E42" s="14" t="s">
        <v>28</v>
      </c>
      <c r="F42" s="17" t="s">
        <v>28</v>
      </c>
      <c r="G42" s="16" t="s">
        <v>30</v>
      </c>
    </row>
    <row r="43" customFormat="false" ht="30" hidden="false" customHeight="true" outlineLevel="0" collapsed="false">
      <c r="A43" s="10" t="n">
        <v>39</v>
      </c>
      <c r="B43" s="20" t="s">
        <v>77</v>
      </c>
      <c r="C43" s="12" t="s">
        <v>111</v>
      </c>
      <c r="D43" s="13" t="s">
        <v>112</v>
      </c>
      <c r="E43" s="14" t="s">
        <v>28</v>
      </c>
      <c r="F43" s="17" t="s">
        <v>28</v>
      </c>
      <c r="G43" s="16" t="s">
        <v>30</v>
      </c>
    </row>
    <row r="44" customFormat="false" ht="30" hidden="false" customHeight="true" outlineLevel="0" collapsed="false">
      <c r="A44" s="10" t="n">
        <v>40</v>
      </c>
      <c r="B44" s="11" t="s">
        <v>25</v>
      </c>
      <c r="C44" s="12" t="s">
        <v>113</v>
      </c>
      <c r="D44" s="13" t="s">
        <v>114</v>
      </c>
      <c r="E44" s="14" t="s">
        <v>28</v>
      </c>
      <c r="F44" s="17" t="s">
        <v>28</v>
      </c>
      <c r="G44" s="16" t="s">
        <v>30</v>
      </c>
    </row>
    <row r="45" customFormat="false" ht="30" hidden="false" customHeight="true" outlineLevel="0" collapsed="false">
      <c r="A45" s="10" t="n">
        <v>41</v>
      </c>
      <c r="B45" s="21" t="s">
        <v>90</v>
      </c>
      <c r="C45" s="12" t="s">
        <v>115</v>
      </c>
      <c r="D45" s="13" t="s">
        <v>116</v>
      </c>
      <c r="E45" s="14" t="s">
        <v>28</v>
      </c>
      <c r="F45" s="17" t="s">
        <v>28</v>
      </c>
      <c r="G45" s="16" t="s">
        <v>30</v>
      </c>
    </row>
    <row r="46" customFormat="false" ht="30" hidden="false" customHeight="true" outlineLevel="0" collapsed="false">
      <c r="A46" s="10" t="n">
        <v>42</v>
      </c>
      <c r="B46" s="19" t="s">
        <v>60</v>
      </c>
      <c r="C46" s="12" t="s">
        <v>117</v>
      </c>
      <c r="D46" s="13" t="s">
        <v>118</v>
      </c>
      <c r="E46" s="14" t="s">
        <v>57</v>
      </c>
      <c r="F46" s="17" t="s">
        <v>28</v>
      </c>
      <c r="G46" s="16" t="s">
        <v>30</v>
      </c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G5:G46" type="list">
      <formula1>"Ý tưởng,Đã chọn,Đang viết,Đang dựng,Đã đăng,Tạm hoãn"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28"/>
  </cols>
  <sheetData>
    <row r="1" customFormat="false" ht="25.5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9" t="s">
        <v>18</v>
      </c>
      <c r="B4" s="9" t="s">
        <v>121</v>
      </c>
      <c r="C4" s="9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127</v>
      </c>
      <c r="I4" s="9" t="s">
        <v>128</v>
      </c>
      <c r="J4" s="9" t="s">
        <v>129</v>
      </c>
      <c r="K4" s="9" t="s">
        <v>130</v>
      </c>
    </row>
    <row r="5" customFormat="false" ht="25.5" hidden="false" customHeight="true" outlineLevel="0" collapsed="false">
      <c r="A5" s="10" t="n">
        <v>1</v>
      </c>
      <c r="B5" s="12" t="s">
        <v>26</v>
      </c>
      <c r="C5" s="16" t="s">
        <v>131</v>
      </c>
      <c r="D5" s="16" t="s">
        <v>131</v>
      </c>
      <c r="E5" s="16" t="s">
        <v>131</v>
      </c>
      <c r="F5" s="16" t="s">
        <v>131</v>
      </c>
      <c r="G5" s="16" t="s">
        <v>131</v>
      </c>
      <c r="H5" s="16" t="s">
        <v>131</v>
      </c>
      <c r="I5" s="16" t="s">
        <v>131</v>
      </c>
      <c r="J5" s="22"/>
      <c r="K5" s="13"/>
    </row>
    <row r="6" customFormat="false" ht="25.5" hidden="false" customHeight="true" outlineLevel="0" collapsed="false">
      <c r="A6" s="10" t="n">
        <v>2</v>
      </c>
      <c r="B6" s="12" t="s">
        <v>45</v>
      </c>
      <c r="C6" s="16" t="s">
        <v>131</v>
      </c>
      <c r="D6" s="16" t="s">
        <v>131</v>
      </c>
      <c r="E6" s="16" t="s">
        <v>131</v>
      </c>
      <c r="F6" s="16" t="s">
        <v>131</v>
      </c>
      <c r="G6" s="16" t="s">
        <v>131</v>
      </c>
      <c r="H6" s="16" t="s">
        <v>131</v>
      </c>
      <c r="I6" s="16" t="s">
        <v>131</v>
      </c>
      <c r="J6" s="22"/>
      <c r="K6" s="13"/>
    </row>
    <row r="7" customFormat="false" ht="25.5" hidden="false" customHeight="true" outlineLevel="0" collapsed="false">
      <c r="A7" s="10" t="n">
        <v>3</v>
      </c>
      <c r="B7" s="12" t="s">
        <v>61</v>
      </c>
      <c r="C7" s="16" t="s">
        <v>131</v>
      </c>
      <c r="D7" s="16" t="s">
        <v>131</v>
      </c>
      <c r="E7" s="16" t="s">
        <v>131</v>
      </c>
      <c r="F7" s="16" t="s">
        <v>131</v>
      </c>
      <c r="G7" s="16" t="s">
        <v>131</v>
      </c>
      <c r="H7" s="16" t="s">
        <v>131</v>
      </c>
      <c r="I7" s="16" t="s">
        <v>131</v>
      </c>
      <c r="J7" s="22"/>
      <c r="K7" s="13"/>
    </row>
    <row r="8" customFormat="false" ht="25.5" hidden="false" customHeight="true" outlineLevel="0" collapsed="false">
      <c r="A8" s="10" t="n">
        <v>4</v>
      </c>
      <c r="B8" s="12"/>
      <c r="C8" s="14"/>
      <c r="D8" s="14"/>
      <c r="E8" s="14"/>
      <c r="F8" s="14"/>
      <c r="G8" s="14"/>
      <c r="H8" s="14"/>
      <c r="I8" s="14"/>
      <c r="J8" s="22"/>
      <c r="K8" s="13"/>
    </row>
    <row r="9" customFormat="false" ht="25.5" hidden="false" customHeight="true" outlineLevel="0" collapsed="false">
      <c r="A9" s="10" t="n">
        <v>5</v>
      </c>
      <c r="B9" s="12"/>
      <c r="C9" s="14"/>
      <c r="D9" s="14"/>
      <c r="E9" s="14"/>
      <c r="F9" s="14"/>
      <c r="G9" s="14"/>
      <c r="H9" s="14"/>
      <c r="I9" s="14"/>
      <c r="J9" s="22"/>
      <c r="K9" s="13"/>
    </row>
    <row r="10" customFormat="false" ht="25.5" hidden="false" customHeight="true" outlineLevel="0" collapsed="false">
      <c r="A10" s="10" t="n">
        <v>6</v>
      </c>
      <c r="B10" s="12"/>
      <c r="C10" s="14"/>
      <c r="D10" s="14"/>
      <c r="E10" s="14"/>
      <c r="F10" s="14"/>
      <c r="G10" s="14"/>
      <c r="H10" s="14"/>
      <c r="I10" s="14"/>
      <c r="J10" s="22"/>
      <c r="K10" s="13"/>
    </row>
    <row r="11" customFormat="false" ht="25.5" hidden="false" customHeight="true" outlineLevel="0" collapsed="false">
      <c r="A11" s="10" t="n">
        <v>7</v>
      </c>
      <c r="B11" s="12"/>
      <c r="C11" s="14"/>
      <c r="D11" s="14"/>
      <c r="E11" s="14"/>
      <c r="F11" s="14"/>
      <c r="G11" s="14"/>
      <c r="H11" s="14"/>
      <c r="I11" s="14"/>
      <c r="J11" s="22"/>
      <c r="K11" s="13"/>
    </row>
    <row r="12" customFormat="false" ht="25.5" hidden="false" customHeight="true" outlineLevel="0" collapsed="false">
      <c r="A12" s="10" t="n">
        <v>8</v>
      </c>
      <c r="B12" s="12"/>
      <c r="C12" s="14"/>
      <c r="D12" s="14"/>
      <c r="E12" s="14"/>
      <c r="F12" s="14"/>
      <c r="G12" s="14"/>
      <c r="H12" s="14"/>
      <c r="I12" s="14"/>
      <c r="J12" s="22"/>
      <c r="K12" s="13"/>
    </row>
    <row r="13" customFormat="false" ht="25.5" hidden="false" customHeight="true" outlineLevel="0" collapsed="false">
      <c r="A13" s="10" t="n">
        <v>9</v>
      </c>
      <c r="B13" s="12"/>
      <c r="C13" s="14"/>
      <c r="D13" s="14"/>
      <c r="E13" s="14"/>
      <c r="F13" s="14"/>
      <c r="G13" s="14"/>
      <c r="H13" s="14"/>
      <c r="I13" s="14"/>
      <c r="J13" s="22"/>
      <c r="K13" s="13"/>
    </row>
    <row r="14" customFormat="false" ht="25.5" hidden="false" customHeight="true" outlineLevel="0" collapsed="false">
      <c r="A14" s="10" t="n">
        <v>10</v>
      </c>
      <c r="B14" s="12"/>
      <c r="C14" s="14"/>
      <c r="D14" s="14"/>
      <c r="E14" s="14"/>
      <c r="F14" s="14"/>
      <c r="G14" s="14"/>
      <c r="H14" s="14"/>
      <c r="I14" s="14"/>
      <c r="J14" s="22"/>
      <c r="K14" s="13"/>
    </row>
    <row r="15" customFormat="false" ht="25.5" hidden="false" customHeight="true" outlineLevel="0" collapsed="false">
      <c r="A15" s="10" t="n">
        <v>11</v>
      </c>
      <c r="B15" s="12"/>
      <c r="C15" s="14"/>
      <c r="D15" s="14"/>
      <c r="E15" s="14"/>
      <c r="F15" s="14"/>
      <c r="G15" s="14"/>
      <c r="H15" s="14"/>
      <c r="I15" s="14"/>
      <c r="J15" s="22"/>
      <c r="K15" s="13"/>
    </row>
    <row r="16" customFormat="false" ht="25.5" hidden="false" customHeight="true" outlineLevel="0" collapsed="false">
      <c r="A16" s="10" t="n">
        <v>12</v>
      </c>
      <c r="B16" s="12"/>
      <c r="C16" s="14"/>
      <c r="D16" s="14"/>
      <c r="E16" s="14"/>
      <c r="F16" s="14"/>
      <c r="G16" s="14"/>
      <c r="H16" s="14"/>
      <c r="I16" s="14"/>
      <c r="J16" s="22"/>
      <c r="K16" s="13"/>
    </row>
    <row r="17" customFormat="false" ht="25.5" hidden="false" customHeight="true" outlineLevel="0" collapsed="false">
      <c r="A17" s="10" t="n">
        <v>13</v>
      </c>
      <c r="B17" s="12"/>
      <c r="C17" s="14"/>
      <c r="D17" s="14"/>
      <c r="E17" s="14"/>
      <c r="F17" s="14"/>
      <c r="G17" s="14"/>
      <c r="H17" s="14"/>
      <c r="I17" s="14"/>
      <c r="J17" s="22"/>
      <c r="K17" s="13"/>
    </row>
    <row r="18" customFormat="false" ht="25.5" hidden="false" customHeight="true" outlineLevel="0" collapsed="false">
      <c r="A18" s="10" t="n">
        <v>14</v>
      </c>
      <c r="B18" s="12"/>
      <c r="C18" s="14"/>
      <c r="D18" s="14"/>
      <c r="E18" s="14"/>
      <c r="F18" s="14"/>
      <c r="G18" s="14"/>
      <c r="H18" s="14"/>
      <c r="I18" s="14"/>
      <c r="J18" s="22"/>
      <c r="K18" s="13"/>
    </row>
    <row r="19" customFormat="false" ht="25.5" hidden="false" customHeight="true" outlineLevel="0" collapsed="false">
      <c r="A19" s="10" t="n">
        <v>15</v>
      </c>
      <c r="B19" s="12"/>
      <c r="C19" s="14"/>
      <c r="D19" s="14"/>
      <c r="E19" s="14"/>
      <c r="F19" s="14"/>
      <c r="G19" s="14"/>
      <c r="H19" s="14"/>
      <c r="I19" s="14"/>
      <c r="J19" s="22"/>
      <c r="K19" s="13"/>
    </row>
    <row r="20" customFormat="false" ht="25.5" hidden="false" customHeight="true" outlineLevel="0" collapsed="false">
      <c r="A20" s="10" t="n">
        <v>16</v>
      </c>
      <c r="B20" s="12"/>
      <c r="C20" s="14"/>
      <c r="D20" s="14"/>
      <c r="E20" s="14"/>
      <c r="F20" s="14"/>
      <c r="G20" s="14"/>
      <c r="H20" s="14"/>
      <c r="I20" s="14"/>
      <c r="J20" s="22"/>
      <c r="K20" s="13"/>
    </row>
    <row r="21" customFormat="false" ht="25.5" hidden="false" customHeight="true" outlineLevel="0" collapsed="false">
      <c r="A21" s="10" t="n">
        <v>17</v>
      </c>
      <c r="B21" s="12"/>
      <c r="C21" s="14"/>
      <c r="D21" s="14"/>
      <c r="E21" s="14"/>
      <c r="F21" s="14"/>
      <c r="G21" s="14"/>
      <c r="H21" s="14"/>
      <c r="I21" s="14"/>
      <c r="J21" s="22"/>
      <c r="K21" s="13"/>
    </row>
    <row r="22" customFormat="false" ht="25.5" hidden="false" customHeight="true" outlineLevel="0" collapsed="false">
      <c r="A22" s="10" t="n">
        <v>18</v>
      </c>
      <c r="B22" s="12"/>
      <c r="C22" s="14"/>
      <c r="D22" s="14"/>
      <c r="E22" s="14"/>
      <c r="F22" s="14"/>
      <c r="G22" s="14"/>
      <c r="H22" s="14"/>
      <c r="I22" s="14"/>
      <c r="J22" s="22"/>
      <c r="K22" s="13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C5:I22" type="list">
      <formula1>"Chưa,Đang làm,Xong"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4" min="3" style="0" width="30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132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133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9" t="s">
        <v>134</v>
      </c>
      <c r="B4" s="9" t="s">
        <v>135</v>
      </c>
      <c r="C4" s="9" t="s">
        <v>136</v>
      </c>
      <c r="D4" s="9" t="s">
        <v>137</v>
      </c>
      <c r="E4" s="9" t="s">
        <v>138</v>
      </c>
      <c r="F4" s="9" t="s">
        <v>130</v>
      </c>
    </row>
    <row r="5" customFormat="false" ht="30" hidden="false" customHeight="true" outlineLevel="0" collapsed="false">
      <c r="A5" s="23" t="s">
        <v>139</v>
      </c>
      <c r="B5" s="13" t="s">
        <v>140</v>
      </c>
      <c r="C5" s="6"/>
      <c r="D5" s="6"/>
      <c r="E5" s="6"/>
      <c r="F5" s="6"/>
    </row>
    <row r="6" customFormat="false" ht="30" hidden="false" customHeight="true" outlineLevel="0" collapsed="false">
      <c r="A6" s="23" t="s">
        <v>141</v>
      </c>
      <c r="B6" s="13" t="s">
        <v>142</v>
      </c>
      <c r="C6" s="5"/>
      <c r="D6" s="5"/>
      <c r="E6" s="5"/>
      <c r="F6" s="5"/>
    </row>
    <row r="7" customFormat="false" ht="30" hidden="false" customHeight="true" outlineLevel="0" collapsed="false">
      <c r="A7" s="23" t="s">
        <v>143</v>
      </c>
      <c r="B7" s="13" t="s">
        <v>144</v>
      </c>
      <c r="C7" s="6"/>
      <c r="D7" s="6"/>
      <c r="E7" s="6"/>
      <c r="F7" s="6"/>
    </row>
    <row r="8" customFormat="false" ht="30" hidden="false" customHeight="true" outlineLevel="0" collapsed="false">
      <c r="A8" s="23" t="s">
        <v>145</v>
      </c>
      <c r="B8" s="13" t="s">
        <v>146</v>
      </c>
      <c r="C8" s="5"/>
      <c r="D8" s="5"/>
      <c r="E8" s="5"/>
      <c r="F8" s="5"/>
    </row>
    <row r="9" customFormat="false" ht="30" hidden="false" customHeight="true" outlineLevel="0" collapsed="false">
      <c r="A9" s="23" t="s">
        <v>147</v>
      </c>
      <c r="B9" s="13" t="s">
        <v>148</v>
      </c>
      <c r="C9" s="6"/>
      <c r="D9" s="6"/>
      <c r="E9" s="6"/>
      <c r="F9" s="6"/>
    </row>
    <row r="10" customFormat="false" ht="30" hidden="false" customHeight="true" outlineLevel="0" collapsed="false">
      <c r="A10" s="23" t="s">
        <v>149</v>
      </c>
      <c r="B10" s="13" t="s">
        <v>150</v>
      </c>
      <c r="C10" s="5"/>
      <c r="D10" s="5"/>
      <c r="E10" s="5"/>
      <c r="F10" s="5"/>
    </row>
    <row r="11" customFormat="false" ht="30" hidden="false" customHeight="true" outlineLevel="0" collapsed="false">
      <c r="A11" s="23" t="s">
        <v>151</v>
      </c>
      <c r="B11" s="13" t="s">
        <v>152</v>
      </c>
      <c r="C11" s="6"/>
      <c r="D11" s="6"/>
      <c r="E11" s="6"/>
      <c r="F11" s="6"/>
    </row>
    <row r="12" customFormat="false" ht="30" hidden="false" customHeight="true" outlineLevel="0" collapsed="false">
      <c r="A12" s="23" t="s">
        <v>153</v>
      </c>
      <c r="B12" s="13" t="s">
        <v>154</v>
      </c>
      <c r="C12" s="5"/>
      <c r="D12" s="5"/>
      <c r="E12" s="5"/>
      <c r="F12" s="5"/>
    </row>
    <row r="13" customFormat="false" ht="30" hidden="false" customHeight="true" outlineLevel="0" collapsed="false">
      <c r="A13" s="23" t="s">
        <v>155</v>
      </c>
      <c r="B13" s="13" t="s">
        <v>156</v>
      </c>
      <c r="C13" s="6"/>
      <c r="D13" s="6"/>
      <c r="E13" s="6"/>
      <c r="F13" s="6"/>
    </row>
    <row r="14" customFormat="false" ht="30" hidden="false" customHeight="true" outlineLevel="0" collapsed="false">
      <c r="A14" s="23" t="s">
        <v>157</v>
      </c>
      <c r="B14" s="13" t="s">
        <v>158</v>
      </c>
      <c r="C14" s="5"/>
      <c r="D14" s="5"/>
      <c r="E14" s="5"/>
      <c r="F14" s="5"/>
    </row>
    <row r="15" customFormat="false" ht="30" hidden="false" customHeight="true" outlineLevel="0" collapsed="false">
      <c r="A15" s="23" t="s">
        <v>159</v>
      </c>
      <c r="B15" s="13" t="s">
        <v>160</v>
      </c>
      <c r="C15" s="6"/>
      <c r="D15" s="6"/>
      <c r="E15" s="6"/>
      <c r="F15" s="6"/>
    </row>
    <row r="16" customFormat="false" ht="30" hidden="false" customHeight="true" outlineLevel="0" collapsed="false">
      <c r="A16" s="23" t="s">
        <v>161</v>
      </c>
      <c r="B16" s="13" t="s">
        <v>162</v>
      </c>
      <c r="C16" s="5"/>
      <c r="D16" s="5"/>
      <c r="E16" s="5"/>
      <c r="F16" s="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25.5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164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A4" s="9" t="s">
        <v>18</v>
      </c>
      <c r="B4" s="9" t="s">
        <v>165</v>
      </c>
      <c r="C4" s="9" t="s">
        <v>166</v>
      </c>
      <c r="D4" s="9" t="s">
        <v>167</v>
      </c>
      <c r="E4" s="9" t="s">
        <v>168</v>
      </c>
      <c r="F4" s="9" t="s">
        <v>169</v>
      </c>
      <c r="G4" s="9" t="s">
        <v>170</v>
      </c>
      <c r="H4" s="9" t="s">
        <v>171</v>
      </c>
      <c r="I4" s="9" t="s">
        <v>172</v>
      </c>
      <c r="J4" s="9" t="s">
        <v>130</v>
      </c>
    </row>
    <row r="5" customFormat="false" ht="21.75" hidden="false" customHeight="true" outlineLevel="0" collapsed="false">
      <c r="A5" s="22" t="n">
        <v>1</v>
      </c>
      <c r="B5" s="13"/>
      <c r="C5" s="14"/>
      <c r="D5" s="14"/>
      <c r="E5" s="24"/>
      <c r="F5" s="14"/>
      <c r="G5" s="14"/>
      <c r="H5" s="14"/>
      <c r="I5" s="25"/>
      <c r="J5" s="14"/>
    </row>
    <row r="6" customFormat="false" ht="21.75" hidden="false" customHeight="true" outlineLevel="0" collapsed="false">
      <c r="A6" s="22" t="n">
        <v>2</v>
      </c>
      <c r="B6" s="13"/>
      <c r="C6" s="14"/>
      <c r="D6" s="14"/>
      <c r="E6" s="24"/>
      <c r="F6" s="14"/>
      <c r="G6" s="14"/>
      <c r="H6" s="14"/>
      <c r="I6" s="25"/>
      <c r="J6" s="14"/>
    </row>
    <row r="7" customFormat="false" ht="21.75" hidden="false" customHeight="true" outlineLevel="0" collapsed="false">
      <c r="A7" s="22" t="n">
        <v>3</v>
      </c>
      <c r="B7" s="13"/>
      <c r="C7" s="14"/>
      <c r="D7" s="14"/>
      <c r="E7" s="24"/>
      <c r="F7" s="14"/>
      <c r="G7" s="14"/>
      <c r="H7" s="14"/>
      <c r="I7" s="25"/>
      <c r="J7" s="14"/>
    </row>
    <row r="8" customFormat="false" ht="21.75" hidden="false" customHeight="true" outlineLevel="0" collapsed="false">
      <c r="A8" s="22" t="n">
        <v>4</v>
      </c>
      <c r="B8" s="13"/>
      <c r="C8" s="14"/>
      <c r="D8" s="14"/>
      <c r="E8" s="24"/>
      <c r="F8" s="14"/>
      <c r="G8" s="14"/>
      <c r="H8" s="14"/>
      <c r="I8" s="25"/>
      <c r="J8" s="14"/>
    </row>
    <row r="9" customFormat="false" ht="21.75" hidden="false" customHeight="true" outlineLevel="0" collapsed="false">
      <c r="A9" s="22" t="n">
        <v>5</v>
      </c>
      <c r="B9" s="13"/>
      <c r="C9" s="14"/>
      <c r="D9" s="14"/>
      <c r="E9" s="24"/>
      <c r="F9" s="14"/>
      <c r="G9" s="14"/>
      <c r="H9" s="14"/>
      <c r="I9" s="25"/>
      <c r="J9" s="14"/>
    </row>
    <row r="10" customFormat="false" ht="21.75" hidden="false" customHeight="true" outlineLevel="0" collapsed="false">
      <c r="A10" s="22" t="n">
        <v>6</v>
      </c>
      <c r="B10" s="13"/>
      <c r="C10" s="14"/>
      <c r="D10" s="14"/>
      <c r="E10" s="24"/>
      <c r="F10" s="14"/>
      <c r="G10" s="14"/>
      <c r="H10" s="14"/>
      <c r="I10" s="25"/>
      <c r="J10" s="14"/>
    </row>
    <row r="11" customFormat="false" ht="21.75" hidden="false" customHeight="true" outlineLevel="0" collapsed="false">
      <c r="A11" s="22" t="n">
        <v>7</v>
      </c>
      <c r="B11" s="13"/>
      <c r="C11" s="14"/>
      <c r="D11" s="14"/>
      <c r="E11" s="24"/>
      <c r="F11" s="14"/>
      <c r="G11" s="14"/>
      <c r="H11" s="14"/>
      <c r="I11" s="25"/>
      <c r="J11" s="14"/>
    </row>
    <row r="12" customFormat="false" ht="21.75" hidden="false" customHeight="true" outlineLevel="0" collapsed="false">
      <c r="A12" s="22" t="n">
        <v>8</v>
      </c>
      <c r="B12" s="13"/>
      <c r="C12" s="14"/>
      <c r="D12" s="14"/>
      <c r="E12" s="24"/>
      <c r="F12" s="14"/>
      <c r="G12" s="14"/>
      <c r="H12" s="14"/>
      <c r="I12" s="25"/>
      <c r="J12" s="14"/>
    </row>
    <row r="13" customFormat="false" ht="21.75" hidden="false" customHeight="true" outlineLevel="0" collapsed="false">
      <c r="A13" s="22" t="n">
        <v>9</v>
      </c>
      <c r="B13" s="13"/>
      <c r="C13" s="14"/>
      <c r="D13" s="14"/>
      <c r="E13" s="24"/>
      <c r="F13" s="14"/>
      <c r="G13" s="14"/>
      <c r="H13" s="14"/>
      <c r="I13" s="25"/>
      <c r="J13" s="14"/>
    </row>
    <row r="14" customFormat="false" ht="21.75" hidden="false" customHeight="true" outlineLevel="0" collapsed="false">
      <c r="A14" s="22" t="n">
        <v>10</v>
      </c>
      <c r="B14" s="13"/>
      <c r="C14" s="14"/>
      <c r="D14" s="14"/>
      <c r="E14" s="24"/>
      <c r="F14" s="14"/>
      <c r="G14" s="14"/>
      <c r="H14" s="14"/>
      <c r="I14" s="25"/>
      <c r="J14" s="14"/>
    </row>
    <row r="15" customFormat="false" ht="21.75" hidden="false" customHeight="true" outlineLevel="0" collapsed="false">
      <c r="A15" s="22" t="n">
        <v>11</v>
      </c>
      <c r="B15" s="13"/>
      <c r="C15" s="14"/>
      <c r="D15" s="14"/>
      <c r="E15" s="24"/>
      <c r="F15" s="14"/>
      <c r="G15" s="14"/>
      <c r="H15" s="14"/>
      <c r="I15" s="25"/>
      <c r="J15" s="14"/>
    </row>
    <row r="16" customFormat="false" ht="21.75" hidden="false" customHeight="true" outlineLevel="0" collapsed="false">
      <c r="A16" s="22" t="n">
        <v>12</v>
      </c>
      <c r="B16" s="13"/>
      <c r="C16" s="14"/>
      <c r="D16" s="14"/>
      <c r="E16" s="24"/>
      <c r="F16" s="14"/>
      <c r="G16" s="14"/>
      <c r="H16" s="14"/>
      <c r="I16" s="25"/>
      <c r="J16" s="14"/>
    </row>
    <row r="17" customFormat="false" ht="21.75" hidden="false" customHeight="true" outlineLevel="0" collapsed="false">
      <c r="A17" s="22" t="n">
        <v>13</v>
      </c>
      <c r="B17" s="13"/>
      <c r="C17" s="14"/>
      <c r="D17" s="14"/>
      <c r="E17" s="24"/>
      <c r="F17" s="14"/>
      <c r="G17" s="14"/>
      <c r="H17" s="14"/>
      <c r="I17" s="25"/>
      <c r="J17" s="14"/>
    </row>
    <row r="18" customFormat="false" ht="21.75" hidden="false" customHeight="true" outlineLevel="0" collapsed="false">
      <c r="A18" s="22" t="n">
        <v>14</v>
      </c>
      <c r="B18" s="13"/>
      <c r="C18" s="14"/>
      <c r="D18" s="14"/>
      <c r="E18" s="24"/>
      <c r="F18" s="14"/>
      <c r="G18" s="14"/>
      <c r="H18" s="14"/>
      <c r="I18" s="25"/>
      <c r="J18" s="14"/>
    </row>
    <row r="19" customFormat="false" ht="21.75" hidden="false" customHeight="true" outlineLevel="0" collapsed="false">
      <c r="A19" s="22" t="n">
        <v>15</v>
      </c>
      <c r="B19" s="13"/>
      <c r="C19" s="14"/>
      <c r="D19" s="14"/>
      <c r="E19" s="24"/>
      <c r="F19" s="14"/>
      <c r="G19" s="14"/>
      <c r="H19" s="14"/>
      <c r="I19" s="25"/>
      <c r="J19" s="14"/>
    </row>
    <row r="20" customFormat="false" ht="21.75" hidden="false" customHeight="true" outlineLevel="0" collapsed="false">
      <c r="A20" s="22" t="n">
        <v>16</v>
      </c>
      <c r="B20" s="13"/>
      <c r="C20" s="14"/>
      <c r="D20" s="14"/>
      <c r="E20" s="24"/>
      <c r="F20" s="14"/>
      <c r="G20" s="14"/>
      <c r="H20" s="14"/>
      <c r="I20" s="25"/>
      <c r="J20" s="14"/>
    </row>
    <row r="21" customFormat="false" ht="21.75" hidden="false" customHeight="true" outlineLevel="0" collapsed="false">
      <c r="A21" s="22" t="n">
        <v>17</v>
      </c>
      <c r="B21" s="13"/>
      <c r="C21" s="14"/>
      <c r="D21" s="14"/>
      <c r="E21" s="24"/>
      <c r="F21" s="14"/>
      <c r="G21" s="14"/>
      <c r="H21" s="14"/>
      <c r="I21" s="25"/>
      <c r="J21" s="14"/>
    </row>
    <row r="22" customFormat="false" ht="21.75" hidden="false" customHeight="true" outlineLevel="0" collapsed="false">
      <c r="A22" s="22" t="n">
        <v>18</v>
      </c>
      <c r="B22" s="13"/>
      <c r="C22" s="14"/>
      <c r="D22" s="14"/>
      <c r="E22" s="24"/>
      <c r="F22" s="14"/>
      <c r="G22" s="14"/>
      <c r="H22" s="14"/>
      <c r="I22" s="25"/>
      <c r="J22" s="14"/>
    </row>
    <row r="23" customFormat="false" ht="21.75" hidden="false" customHeight="true" outlineLevel="0" collapsed="false">
      <c r="A23" s="22" t="n">
        <v>19</v>
      </c>
      <c r="B23" s="13"/>
      <c r="C23" s="14"/>
      <c r="D23" s="14"/>
      <c r="E23" s="24"/>
      <c r="F23" s="14"/>
      <c r="G23" s="14"/>
      <c r="H23" s="14"/>
      <c r="I23" s="25"/>
      <c r="J23" s="14"/>
    </row>
    <row r="24" customFormat="false" ht="21.75" hidden="false" customHeight="true" outlineLevel="0" collapsed="false">
      <c r="A24" s="22" t="n">
        <v>20</v>
      </c>
      <c r="B24" s="13"/>
      <c r="C24" s="14"/>
      <c r="D24" s="14"/>
      <c r="E24" s="24"/>
      <c r="F24" s="14"/>
      <c r="G24" s="14"/>
      <c r="H24" s="14"/>
      <c r="I24" s="25"/>
      <c r="J24" s="14"/>
    </row>
    <row r="25" customFormat="false" ht="15" hidden="false" customHeight="false" outlineLevel="0" collapsed="false">
      <c r="A25" s="26"/>
      <c r="B25" s="3" t="s">
        <v>173</v>
      </c>
      <c r="C25" s="27"/>
      <c r="D25" s="23" t="n">
        <f aca="false">SUM(D5:D24)</f>
        <v>0</v>
      </c>
      <c r="E25" s="26"/>
      <c r="F25" s="26"/>
      <c r="G25" s="23" t="n">
        <f aca="false">SUM(G5:G24)</f>
        <v>0</v>
      </c>
      <c r="H25" s="23" t="n">
        <f aca="false">SUM(H5:H24)</f>
        <v>0</v>
      </c>
      <c r="I25" s="28" t="n">
        <f aca="false">SUM(I5:I24)</f>
        <v>0</v>
      </c>
      <c r="J25" s="26"/>
    </row>
    <row r="27" customFormat="false" ht="15" hidden="false" customHeight="false" outlineLevel="0" collapsed="false">
      <c r="B27" s="29" t="s">
        <v>174</v>
      </c>
      <c r="G27" s="15" t="str">
        <f aca="false">G25&amp;" / 4000"</f>
        <v>0 / 4000</v>
      </c>
    </row>
    <row r="28" customFormat="false" ht="15" hidden="false" customHeight="false" outlineLevel="0" collapsed="false">
      <c r="B28" s="29" t="s">
        <v>175</v>
      </c>
      <c r="H28" s="15" t="str">
        <f aca="false">H25&amp;" / 1000"</f>
        <v>0 / 1000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30"/>
  </cols>
  <sheetData>
    <row r="2" customFormat="false" ht="25.5" hidden="false" customHeight="true" outlineLevel="0" collapsed="false">
      <c r="A2" s="1" t="s">
        <v>176</v>
      </c>
      <c r="B2" s="1"/>
      <c r="C2" s="1"/>
      <c r="D2" s="1"/>
      <c r="E2" s="1"/>
    </row>
    <row r="3" customFormat="false" ht="18" hidden="false" customHeight="true" outlineLevel="0" collapsed="false">
      <c r="A3" s="2" t="s">
        <v>177</v>
      </c>
      <c r="B3" s="2"/>
      <c r="C3" s="2"/>
      <c r="D3" s="2"/>
      <c r="E3" s="2"/>
    </row>
    <row r="5" customFormat="false" ht="15" hidden="false" customHeight="false" outlineLevel="0" collapsed="false">
      <c r="B5" s="3" t="s">
        <v>178</v>
      </c>
      <c r="C5" s="9" t="s">
        <v>179</v>
      </c>
      <c r="D5" s="27"/>
    </row>
    <row r="6" customFormat="false" ht="15" hidden="false" customHeight="false" outlineLevel="0" collapsed="false">
      <c r="B6" s="30" t="s">
        <v>180</v>
      </c>
      <c r="C6" s="31" t="n">
        <v>200000</v>
      </c>
      <c r="D6" s="30"/>
    </row>
    <row r="7" customFormat="false" ht="15" hidden="false" customHeight="false" outlineLevel="0" collapsed="false">
      <c r="B7" s="30" t="s">
        <v>181</v>
      </c>
      <c r="C7" s="32" t="n">
        <v>8</v>
      </c>
      <c r="D7" s="30"/>
    </row>
    <row r="8" customFormat="false" ht="15" hidden="false" customHeight="false" outlineLevel="0" collapsed="false">
      <c r="B8" s="30" t="s">
        <v>182</v>
      </c>
      <c r="C8" s="33" t="n">
        <v>0.7</v>
      </c>
      <c r="D8" s="30"/>
    </row>
    <row r="10" customFormat="false" ht="15" hidden="false" customHeight="false" outlineLevel="0" collapsed="false">
      <c r="B10" s="7" t="s">
        <v>183</v>
      </c>
      <c r="C10" s="34"/>
      <c r="D10" s="34"/>
    </row>
    <row r="11" customFormat="false" ht="15" hidden="false" customHeight="false" outlineLevel="0" collapsed="false">
      <c r="B11" s="29" t="s">
        <v>184</v>
      </c>
      <c r="C11" s="35" t="n">
        <f aca="false">C6/1000*C7</f>
        <v>1600</v>
      </c>
    </row>
    <row r="12" customFormat="false" ht="15" hidden="false" customHeight="false" outlineLevel="0" collapsed="false">
      <c r="B12" s="29" t="s">
        <v>185</v>
      </c>
      <c r="C12" s="35" t="n">
        <f aca="false">C11*12</f>
        <v>19200</v>
      </c>
    </row>
    <row r="14" customFormat="false" ht="26.85" hidden="false" customHeight="false" outlineLevel="0" collapsed="false">
      <c r="B14" s="36" t="s">
        <v>186</v>
      </c>
      <c r="C14" s="37"/>
      <c r="D14" s="37"/>
    </row>
    <row r="15" customFormat="false" ht="26.85" hidden="false" customHeight="false" outlineLevel="0" collapsed="false">
      <c r="B15" s="23" t="s">
        <v>187</v>
      </c>
      <c r="C15" s="23" t="s">
        <v>188</v>
      </c>
    </row>
    <row r="16" customFormat="false" ht="15" hidden="false" customHeight="false" outlineLevel="0" collapsed="false">
      <c r="B16" s="38" t="n">
        <v>50000</v>
      </c>
      <c r="C16" s="35" t="n">
        <f aca="false">B16/1000*8</f>
        <v>400</v>
      </c>
    </row>
    <row r="17" customFormat="false" ht="15" hidden="false" customHeight="false" outlineLevel="0" collapsed="false">
      <c r="B17" s="38" t="n">
        <v>100000</v>
      </c>
      <c r="C17" s="35" t="n">
        <f aca="false">B17/1000*8</f>
        <v>800</v>
      </c>
    </row>
    <row r="18" customFormat="false" ht="15" hidden="false" customHeight="false" outlineLevel="0" collapsed="false">
      <c r="B18" s="38" t="n">
        <v>200000</v>
      </c>
      <c r="C18" s="35" t="n">
        <f aca="false">B18/1000*8</f>
        <v>1600</v>
      </c>
    </row>
    <row r="19" customFormat="false" ht="15" hidden="false" customHeight="false" outlineLevel="0" collapsed="false">
      <c r="B19" s="38" t="n">
        <v>500000</v>
      </c>
      <c r="C19" s="35" t="n">
        <f aca="false">B19/1000*8</f>
        <v>4000</v>
      </c>
    </row>
    <row r="20" customFormat="false" ht="15" hidden="false" customHeight="false" outlineLevel="0" collapsed="false">
      <c r="B20" s="38" t="n">
        <v>1000000</v>
      </c>
      <c r="C20" s="35" t="n">
        <f aca="false">B20/1000*8</f>
        <v>8000</v>
      </c>
    </row>
    <row r="22" customFormat="false" ht="15" hidden="false" customHeight="false" outlineLevel="0" collapsed="false">
      <c r="B22" s="39" t="s">
        <v>189</v>
      </c>
      <c r="C22" s="39"/>
      <c r="D22" s="39"/>
      <c r="E22" s="39"/>
    </row>
  </sheetData>
  <mergeCells count="3">
    <mergeCell ref="A2:E2"/>
    <mergeCell ref="A3:E3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2026-06-23T07:09:36Z</dcterms:created>
  <dc:creator>openpyxl</dc:creator>
  <dc:description/>
  <dc:language>en-US</dc:language>
  <cp:lastModifiedBy/>
  <dcterms:modified xsi:type="dcterms:W3CDTF">2026-06-23T07:09:36Z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